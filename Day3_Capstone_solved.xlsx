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bdSi2rNUZHoikDiS6QdgbGe1Nu2x52s85cZbQrGTBZA="/>
    </ext>
  </extLst>
</workbook>
</file>

<file path=xl/sharedStrings.xml><?xml version="1.0" encoding="utf-8"?>
<sst xmlns="http://schemas.openxmlformats.org/spreadsheetml/2006/main" count="83" uniqueCount="49">
  <si>
    <t>TransID</t>
  </si>
  <si>
    <t>Date</t>
  </si>
  <si>
    <t>RepID</t>
  </si>
  <si>
    <t>ProductID</t>
  </si>
  <si>
    <t>Qty</t>
  </si>
  <si>
    <t>RepName</t>
  </si>
  <si>
    <t>Region</t>
  </si>
  <si>
    <t>Unit Price</t>
  </si>
  <si>
    <t>Total Revenue</t>
  </si>
  <si>
    <t>TX-1001</t>
  </si>
  <si>
    <t>R-001</t>
  </si>
  <si>
    <t>P-500</t>
  </si>
  <si>
    <t>TX-1002</t>
  </si>
  <si>
    <t>R-002</t>
  </si>
  <si>
    <t>P-505</t>
  </si>
  <si>
    <t>TX-1003</t>
  </si>
  <si>
    <t>R-003</t>
  </si>
  <si>
    <t>TX-1004</t>
  </si>
  <si>
    <t>P-502</t>
  </si>
  <si>
    <t>TX-1005</t>
  </si>
  <si>
    <t>R-004</t>
  </si>
  <si>
    <t>TX-1006</t>
  </si>
  <si>
    <t>P-501</t>
  </si>
  <si>
    <t>TX-1007</t>
  </si>
  <si>
    <t>TX-1008</t>
  </si>
  <si>
    <t>R-005</t>
  </si>
  <si>
    <t>TX-1009</t>
  </si>
  <si>
    <t>TX-1010</t>
  </si>
  <si>
    <t>TX-1011</t>
  </si>
  <si>
    <t>TX-1012</t>
  </si>
  <si>
    <t>TX-1013</t>
  </si>
  <si>
    <t>TX-1014</t>
  </si>
  <si>
    <t>TX-1015</t>
  </si>
  <si>
    <t>Alice Smith</t>
  </si>
  <si>
    <t>North</t>
  </si>
  <si>
    <t>Bob Jones</t>
  </si>
  <si>
    <t>South</t>
  </si>
  <si>
    <t xml:space="preserve">R-003 </t>
  </si>
  <si>
    <t>Charlie Day</t>
  </si>
  <si>
    <t>East</t>
  </si>
  <si>
    <t>Diana Prince</t>
  </si>
  <si>
    <t>West</t>
  </si>
  <si>
    <t>Ethan Hunt</t>
  </si>
  <si>
    <t>ProductName</t>
  </si>
  <si>
    <t>UnitPrice</t>
  </si>
  <si>
    <t>Pro Widget</t>
  </si>
  <si>
    <t>Mega Gadget</t>
  </si>
  <si>
    <t>Ultra Gizmo</t>
  </si>
  <si>
    <t>Power Pack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</si>
</sst>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6" displayName="SALE" name="SALE" id="1">
  <tableColumns count="9">
    <tableColumn name="TransID" id="1"/>
    <tableColumn name="Date" id="2"/>
    <tableColumn name="RepID" id="3"/>
    <tableColumn name="ProductID" id="4"/>
    <tableColumn name="Qty" id="5"/>
    <tableColumn name="RepName" id="6"/>
    <tableColumn name="Region" id="7"/>
    <tableColumn name="Unit Price" id="8"/>
    <tableColumn name="Total Revenue" id="9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:C6" displayName="Table1" name="Table1" id="2">
  <tableColumns count="3">
    <tableColumn name="RepID" id="1"/>
    <tableColumn name="RepName" id="2"/>
    <tableColumn name="Region" id="3"/>
  </tableColumns>
  <tableStyleInfo name="Sheet2-style" showColumnStripes="0" showFirstColumn="1" showLastColumn="1" showRowStripes="1"/>
</table>
</file>

<file path=xl/tables/table3.xml><?xml version="1.0" encoding="utf-8"?>
<table xmlns="http://schemas.openxmlformats.org/spreadsheetml/2006/main" ref="A1:C5" displayName="Table2" name="Table2" id="3">
  <tableColumns count="3">
    <tableColumn name="ProductID" id="1"/>
    <tableColumn name="ProductName" id="2"/>
    <tableColumn name="UnitPrice" id="3"/>
  </tableColumns>
  <tableStyleInfo name="Sheet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43"/>
    <col customWidth="1" min="2" max="2" width="14.29"/>
    <col customWidth="1" min="3" max="3" width="11.86"/>
    <col customWidth="1" min="4" max="4" width="15.57"/>
    <col customWidth="1" min="5" max="5" width="9.43"/>
    <col customWidth="1" min="6" max="6" width="15.43"/>
    <col customWidth="1" min="7" max="7" width="12.71"/>
    <col customWidth="1" min="8" max="8" width="17.86"/>
    <col customWidth="1" min="9" max="9" width="19.43"/>
    <col customWidth="1" min="1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 ht="14.25" customHeight="1">
      <c r="A2" s="4" t="s">
        <v>9</v>
      </c>
      <c r="B2" s="5">
        <v>45231.0</v>
      </c>
      <c r="C2" s="4" t="s">
        <v>10</v>
      </c>
      <c r="D2" s="4" t="s">
        <v>11</v>
      </c>
      <c r="E2" s="4">
        <v>5.0</v>
      </c>
      <c r="F2" s="6" t="str">
        <f t="array" ref="F2">XLOOKUP(C2,Table1[RepID],Table1[RepName],0,-1)</f>
        <v>Alice Smith</v>
      </c>
      <c r="G2" s="6" t="str">
        <f t="array" ref="G2">XLOOKUP(C2,Table1[RepID],Table1[Region],0,-1)</f>
        <v>North</v>
      </c>
      <c r="H2" s="7">
        <f t="array" ref="H2">XLOOKUP(D2,Table2[ProductID],Table2[UnitPrice],0,-1)</f>
        <v>25</v>
      </c>
      <c r="I2" s="7">
        <f t="array" ref="I2">XLOOKUP(D2,Table2[ProductID],Table2[UnitPrice],0)*E2</f>
        <v>125</v>
      </c>
    </row>
    <row r="3" ht="14.25" customHeight="1">
      <c r="A3" s="4" t="s">
        <v>12</v>
      </c>
      <c r="B3" s="5">
        <v>45231.0</v>
      </c>
      <c r="C3" s="4" t="s">
        <v>13</v>
      </c>
      <c r="D3" s="4" t="s">
        <v>14</v>
      </c>
      <c r="E3" s="4">
        <v>2.0</v>
      </c>
      <c r="F3" s="6" t="str">
        <f t="array" ref="F3">XLOOKUP(C3,Table1[RepID],Table1[RepName],0,-1)</f>
        <v>Bob Jones</v>
      </c>
      <c r="G3" s="6" t="str">
        <f t="array" ref="G3">XLOOKUP(C3,Table1[RepID],Table1[Region],0,-1)</f>
        <v>South</v>
      </c>
      <c r="H3" s="7">
        <f t="array" ref="H3">XLOOKUP(D3,Table2[ProductID],Table2[UnitPrice],0,-1)</f>
        <v>30</v>
      </c>
      <c r="I3" s="7">
        <f t="array" ref="I3">XLOOKUP(D3,Table2[ProductID],Table2[UnitPrice],0)*E3</f>
        <v>60</v>
      </c>
    </row>
    <row r="4" ht="14.25" customHeight="1">
      <c r="A4" s="4" t="s">
        <v>15</v>
      </c>
      <c r="B4" s="5">
        <v>45232.0</v>
      </c>
      <c r="C4" s="4" t="s">
        <v>16</v>
      </c>
      <c r="D4" s="4" t="s">
        <v>11</v>
      </c>
      <c r="E4" s="4">
        <v>1.0</v>
      </c>
      <c r="F4" s="6" t="str">
        <f t="array" ref="F4">XLOOKUP(C4,Table1[RepID],Table1[RepName],0,-1)</f>
        <v>Bob Jones</v>
      </c>
      <c r="G4" s="6" t="str">
        <f t="array" ref="G4">XLOOKUP(C4,Table1[RepID],Table1[Region],0,-1)</f>
        <v>South</v>
      </c>
      <c r="H4" s="7">
        <f t="array" ref="H4">XLOOKUP(D4,Table2[ProductID],Table2[UnitPrice],0,-1)</f>
        <v>25</v>
      </c>
      <c r="I4" s="7">
        <f t="array" ref="I4">XLOOKUP(D4,Table2[ProductID],Table2[UnitPrice],0)*E4</f>
        <v>25</v>
      </c>
    </row>
    <row r="5" ht="14.25" customHeight="1">
      <c r="A5" s="4" t="s">
        <v>17</v>
      </c>
      <c r="B5" s="5">
        <v>45232.0</v>
      </c>
      <c r="C5" s="4" t="s">
        <v>10</v>
      </c>
      <c r="D5" s="4" t="s">
        <v>18</v>
      </c>
      <c r="E5" s="4">
        <v>10.0</v>
      </c>
      <c r="F5" s="6" t="str">
        <f t="array" ref="F5">XLOOKUP(C5,Table1[RepID],Table1[RepName],0,-1)</f>
        <v>Alice Smith</v>
      </c>
      <c r="G5" s="6" t="str">
        <f t="array" ref="G5">XLOOKUP(C5,Table1[RepID],Table1[Region],0,-1)</f>
        <v>North</v>
      </c>
      <c r="H5" s="7">
        <f t="array" ref="H5">XLOOKUP(D5,Table2[ProductID],Table2[UnitPrice],0,-1)</f>
        <v>15</v>
      </c>
      <c r="I5" s="7">
        <f t="array" ref="I5">XLOOKUP(D5,Table2[ProductID],Table2[UnitPrice],0)*E5</f>
        <v>150</v>
      </c>
    </row>
    <row r="6" ht="14.25" customHeight="1">
      <c r="A6" s="4" t="s">
        <v>19</v>
      </c>
      <c r="B6" s="5">
        <v>45233.0</v>
      </c>
      <c r="C6" s="4" t="s">
        <v>20</v>
      </c>
      <c r="D6" s="4" t="s">
        <v>14</v>
      </c>
      <c r="E6" s="4">
        <v>3.0</v>
      </c>
      <c r="F6" s="6" t="str">
        <f t="array" ref="F6">XLOOKUP(C6,Table1[RepID],Table1[RepName],0,-1)</f>
        <v>Diana Prince</v>
      </c>
      <c r="G6" s="6" t="str">
        <f t="array" ref="G6">XLOOKUP(C6,Table1[RepID],Table1[Region],0,-1)</f>
        <v>West</v>
      </c>
      <c r="H6" s="7">
        <f t="array" ref="H6">XLOOKUP(D6,Table2[ProductID],Table2[UnitPrice],0,-1)</f>
        <v>30</v>
      </c>
      <c r="I6" s="7">
        <f t="array" ref="I6">XLOOKUP(D6,Table2[ProductID],Table2[UnitPrice],0)*E6</f>
        <v>90</v>
      </c>
    </row>
    <row r="7" ht="14.25" customHeight="1">
      <c r="A7" s="4" t="s">
        <v>21</v>
      </c>
      <c r="B7" s="5">
        <v>45233.0</v>
      </c>
      <c r="C7" s="4" t="s">
        <v>13</v>
      </c>
      <c r="D7" s="4" t="s">
        <v>22</v>
      </c>
      <c r="E7" s="4">
        <v>4.0</v>
      </c>
      <c r="F7" s="6" t="str">
        <f t="array" ref="F7">XLOOKUP(C7,Table1[RepID],Table1[RepName],0,-1)</f>
        <v>Bob Jones</v>
      </c>
      <c r="G7" s="6" t="str">
        <f t="array" ref="G7">XLOOKUP(C7,Table1[RepID],Table1[Region],0,-1)</f>
        <v>South</v>
      </c>
      <c r="H7" s="7">
        <f t="array" ref="H7">XLOOKUP(D7,Table2[ProductID],Table2[UnitPrice],0,-1)</f>
        <v>45</v>
      </c>
      <c r="I7" s="7">
        <f t="array" ref="I7">XLOOKUP(D7,Table2[ProductID],Table2[UnitPrice],0)*E7</f>
        <v>180</v>
      </c>
    </row>
    <row r="8" ht="14.25" customHeight="1">
      <c r="A8" s="4" t="s">
        <v>23</v>
      </c>
      <c r="B8" s="5">
        <v>45234.0</v>
      </c>
      <c r="C8" s="4" t="s">
        <v>16</v>
      </c>
      <c r="D8" s="4" t="s">
        <v>18</v>
      </c>
      <c r="E8" s="4">
        <v>2.0</v>
      </c>
      <c r="F8" s="6" t="str">
        <f t="array" ref="F8">XLOOKUP(C8,Table1[RepID],Table1[RepName],0,-1)</f>
        <v>Bob Jones</v>
      </c>
      <c r="G8" s="6" t="str">
        <f t="array" ref="G8">XLOOKUP(C8,Table1[RepID],Table1[Region],0,-1)</f>
        <v>South</v>
      </c>
      <c r="H8" s="7">
        <f t="array" ref="H8">XLOOKUP(D8,Table2[ProductID],Table2[UnitPrice],0,-1)</f>
        <v>15</v>
      </c>
      <c r="I8" s="7">
        <f t="array" ref="I8">XLOOKUP(D8,Table2[ProductID],Table2[UnitPrice],0)*E8</f>
        <v>30</v>
      </c>
    </row>
    <row r="9" ht="14.25" customHeight="1">
      <c r="A9" s="4" t="s">
        <v>24</v>
      </c>
      <c r="B9" s="5">
        <v>45235.0</v>
      </c>
      <c r="C9" s="4" t="s">
        <v>25</v>
      </c>
      <c r="D9" s="4" t="s">
        <v>11</v>
      </c>
      <c r="E9" s="4">
        <v>6.0</v>
      </c>
      <c r="F9" s="6" t="str">
        <f t="array" ref="F9">XLOOKUP(C9,Table1[RepID],Table1[RepName],0,-1)</f>
        <v>Ethan Hunt</v>
      </c>
      <c r="G9" s="6" t="str">
        <f t="array" ref="G9">XLOOKUP(C9,Table1[RepID],Table1[Region],0,-1)</f>
        <v>North</v>
      </c>
      <c r="H9" s="7">
        <f t="array" ref="H9">XLOOKUP(D9,Table2[ProductID],Table2[UnitPrice],0,-1)</f>
        <v>25</v>
      </c>
      <c r="I9" s="7">
        <f t="array" ref="I9">XLOOKUP(D9,Table2[ProductID],Table2[UnitPrice],0)*E9</f>
        <v>150</v>
      </c>
    </row>
    <row r="10" ht="14.25" customHeight="1">
      <c r="A10" s="4" t="s">
        <v>26</v>
      </c>
      <c r="B10" s="5">
        <v>45235.0</v>
      </c>
      <c r="C10" s="4" t="s">
        <v>10</v>
      </c>
      <c r="D10" s="4" t="s">
        <v>14</v>
      </c>
      <c r="E10" s="4">
        <v>1.0</v>
      </c>
      <c r="F10" s="6" t="str">
        <f t="array" ref="F10">XLOOKUP(C10,Table1[RepID],Table1[RepName],0,-1)</f>
        <v>Alice Smith</v>
      </c>
      <c r="G10" s="6" t="str">
        <f t="array" ref="G10">XLOOKUP(C10,Table1[RepID],Table1[Region],0,-1)</f>
        <v>North</v>
      </c>
      <c r="H10" s="7">
        <f t="array" ref="H10">XLOOKUP(D10,Table2[ProductID],Table2[UnitPrice],0,-1)</f>
        <v>30</v>
      </c>
      <c r="I10" s="7">
        <f t="array" ref="I10">XLOOKUP(D10,Table2[ProductID],Table2[UnitPrice],0)*E10</f>
        <v>30</v>
      </c>
    </row>
    <row r="11" ht="14.25" customHeight="1">
      <c r="A11" s="4" t="s">
        <v>27</v>
      </c>
      <c r="B11" s="5">
        <v>45236.0</v>
      </c>
      <c r="C11" s="4" t="s">
        <v>20</v>
      </c>
      <c r="D11" s="4" t="s">
        <v>22</v>
      </c>
      <c r="E11" s="4">
        <v>8.0</v>
      </c>
      <c r="F11" s="6" t="str">
        <f t="array" ref="F11">XLOOKUP(C11,Table1[RepID],Table1[RepName],0,-1)</f>
        <v>Diana Prince</v>
      </c>
      <c r="G11" s="6" t="str">
        <f t="array" ref="G11">XLOOKUP(C11,Table1[RepID],Table1[Region],0,-1)</f>
        <v>West</v>
      </c>
      <c r="H11" s="7">
        <f t="array" ref="H11">XLOOKUP(D11,Table2[ProductID],Table2[UnitPrice],0,-1)</f>
        <v>45</v>
      </c>
      <c r="I11" s="7">
        <f t="array" ref="I11">XLOOKUP(D11,Table2[ProductID],Table2[UnitPrice],0)*E11</f>
        <v>360</v>
      </c>
    </row>
    <row r="12" ht="14.25" customHeight="1">
      <c r="A12" s="4" t="s">
        <v>28</v>
      </c>
      <c r="B12" s="5">
        <v>45236.0</v>
      </c>
      <c r="C12" s="4" t="s">
        <v>25</v>
      </c>
      <c r="D12" s="4" t="s">
        <v>18</v>
      </c>
      <c r="E12" s="4">
        <v>3.0</v>
      </c>
      <c r="F12" s="6" t="str">
        <f t="array" ref="F12">XLOOKUP(C12,Table1[RepID],Table1[RepName],0,-1)</f>
        <v>Ethan Hunt</v>
      </c>
      <c r="G12" s="6" t="str">
        <f t="array" ref="G12">XLOOKUP(C12,Table1[RepID],Table1[Region],0,-1)</f>
        <v>North</v>
      </c>
      <c r="H12" s="7">
        <f t="array" ref="H12">XLOOKUP(D12,Table2[ProductID],Table2[UnitPrice],0,-1)</f>
        <v>15</v>
      </c>
      <c r="I12" s="7">
        <f t="array" ref="I12">XLOOKUP(D12,Table2[ProductID],Table2[UnitPrice],0)*E12</f>
        <v>45</v>
      </c>
    </row>
    <row r="13" ht="14.25" customHeight="1">
      <c r="A13" s="4" t="s">
        <v>29</v>
      </c>
      <c r="B13" s="5">
        <v>45237.0</v>
      </c>
      <c r="C13" s="4" t="s">
        <v>13</v>
      </c>
      <c r="D13" s="4" t="s">
        <v>11</v>
      </c>
      <c r="E13" s="4">
        <v>4.0</v>
      </c>
      <c r="F13" s="6" t="str">
        <f t="array" ref="F13">XLOOKUP(C13,Table1[RepID],Table1[RepName],0,-1)</f>
        <v>Bob Jones</v>
      </c>
      <c r="G13" s="6" t="str">
        <f t="array" ref="G13">XLOOKUP(C13,Table1[RepID],Table1[Region],0,-1)</f>
        <v>South</v>
      </c>
      <c r="H13" s="7">
        <f t="array" ref="H13">XLOOKUP(D13,Table2[ProductID],Table2[UnitPrice],0,-1)</f>
        <v>25</v>
      </c>
      <c r="I13" s="7">
        <f t="array" ref="I13">XLOOKUP(D13,Table2[ProductID],Table2[UnitPrice],0)*E13</f>
        <v>100</v>
      </c>
    </row>
    <row r="14" ht="14.25" customHeight="1">
      <c r="A14" s="4" t="s">
        <v>30</v>
      </c>
      <c r="B14" s="5">
        <v>45237.0</v>
      </c>
      <c r="C14" s="4" t="s">
        <v>16</v>
      </c>
      <c r="D14" s="4" t="s">
        <v>14</v>
      </c>
      <c r="E14" s="4">
        <v>5.0</v>
      </c>
      <c r="F14" s="6" t="str">
        <f t="array" ref="F14">XLOOKUP(C14,Table1[RepID],Table1[RepName],0,-1)</f>
        <v>Bob Jones</v>
      </c>
      <c r="G14" s="6" t="str">
        <f t="array" ref="G14">XLOOKUP(C14,Table1[RepID],Table1[Region],0,-1)</f>
        <v>South</v>
      </c>
      <c r="H14" s="7">
        <f t="array" ref="H14">XLOOKUP(D14,Table2[ProductID],Table2[UnitPrice],0,-1)</f>
        <v>30</v>
      </c>
      <c r="I14" s="7">
        <f t="array" ref="I14">XLOOKUP(D14,Table2[ProductID],Table2[UnitPrice],0)*E14</f>
        <v>150</v>
      </c>
    </row>
    <row r="15" ht="14.25" customHeight="1">
      <c r="A15" s="4" t="s">
        <v>31</v>
      </c>
      <c r="B15" s="5">
        <v>45238.0</v>
      </c>
      <c r="C15" s="4" t="s">
        <v>10</v>
      </c>
      <c r="D15" s="4" t="s">
        <v>22</v>
      </c>
      <c r="E15" s="4">
        <v>2.0</v>
      </c>
      <c r="F15" s="6" t="str">
        <f t="array" ref="F15">XLOOKUP(C15,Table1[RepID],Table1[RepName],0,-1)</f>
        <v>Alice Smith</v>
      </c>
      <c r="G15" s="6" t="str">
        <f t="array" ref="G15">XLOOKUP(C15,Table1[RepID],Table1[Region],0,-1)</f>
        <v>North</v>
      </c>
      <c r="H15" s="7">
        <f t="array" ref="H15">XLOOKUP(D15,Table2[ProductID],Table2[UnitPrice],0,-1)</f>
        <v>45</v>
      </c>
      <c r="I15" s="7">
        <f t="array" ref="I15">XLOOKUP(D15,Table2[ProductID],Table2[UnitPrice],0)*E15</f>
        <v>90</v>
      </c>
    </row>
    <row r="16" ht="14.25" customHeight="1">
      <c r="A16" s="4" t="s">
        <v>32</v>
      </c>
      <c r="B16" s="5">
        <v>45238.0</v>
      </c>
      <c r="C16" s="4" t="s">
        <v>20</v>
      </c>
      <c r="D16" s="4" t="s">
        <v>18</v>
      </c>
      <c r="E16" s="4">
        <v>7.0</v>
      </c>
      <c r="F16" s="6" t="str">
        <f t="array" ref="F16">XLOOKUP(C16,Table1[RepID],Table1[RepName],0,-1)</f>
        <v>Diana Prince</v>
      </c>
      <c r="G16" s="6" t="str">
        <f t="array" ref="G16">XLOOKUP(C16,Table1[RepID],Table1[Region],0,-1)</f>
        <v>West</v>
      </c>
      <c r="H16" s="7">
        <f t="array" ref="H16">XLOOKUP(D16,Table2[ProductID],Table2[UnitPrice],0,-1)</f>
        <v>15</v>
      </c>
      <c r="I16" s="7">
        <f t="array" ref="I16">XLOOKUP(D16,Table2[ProductID],Table2[UnitPrice],0)*E16</f>
        <v>105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custom" allowBlank="1" showDropDown="1" sqref="B2:B16">
      <formula1>OR(NOT(ISERROR(DATEVALUE(B2))), AND(ISNUMBER(B2), LEFT(CELL("format", B2))="D"))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86"/>
    <col customWidth="1" min="2" max="2" width="15.43"/>
    <col customWidth="1" min="3" max="3" width="12.71"/>
    <col customWidth="1" min="4" max="26" width="8.71"/>
  </cols>
  <sheetData>
    <row r="1" ht="14.25" customHeight="1">
      <c r="A1" s="3" t="s">
        <v>2</v>
      </c>
      <c r="B1" s="3" t="s">
        <v>5</v>
      </c>
      <c r="C1" s="3" t="s">
        <v>6</v>
      </c>
    </row>
    <row r="2" ht="14.25" customHeight="1">
      <c r="A2" s="7" t="s">
        <v>10</v>
      </c>
      <c r="B2" s="7" t="s">
        <v>33</v>
      </c>
      <c r="C2" s="7" t="s">
        <v>34</v>
      </c>
    </row>
    <row r="3" ht="14.25" customHeight="1">
      <c r="A3" s="7" t="s">
        <v>13</v>
      </c>
      <c r="B3" s="7" t="s">
        <v>35</v>
      </c>
      <c r="C3" s="7" t="s">
        <v>36</v>
      </c>
    </row>
    <row r="4" ht="14.25" customHeight="1">
      <c r="A4" s="7" t="s">
        <v>37</v>
      </c>
      <c r="B4" s="7" t="s">
        <v>38</v>
      </c>
      <c r="C4" s="7" t="s">
        <v>39</v>
      </c>
    </row>
    <row r="5" ht="14.25" customHeight="1">
      <c r="A5" s="7" t="s">
        <v>20</v>
      </c>
      <c r="B5" s="7" t="s">
        <v>40</v>
      </c>
      <c r="C5" s="7" t="s">
        <v>41</v>
      </c>
    </row>
    <row r="6" ht="14.25" customHeight="1">
      <c r="A6" s="7" t="s">
        <v>25</v>
      </c>
      <c r="B6" s="7" t="s">
        <v>42</v>
      </c>
      <c r="C6" s="7" t="s">
        <v>34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57"/>
    <col customWidth="1" min="2" max="2" width="19.14"/>
    <col customWidth="1" min="3" max="3" width="14.71"/>
    <col customWidth="1" min="4" max="26" width="8.71"/>
  </cols>
  <sheetData>
    <row r="1" ht="14.25" customHeight="1">
      <c r="A1" s="3" t="s">
        <v>3</v>
      </c>
      <c r="B1" s="3" t="s">
        <v>43</v>
      </c>
      <c r="C1" s="3" t="s">
        <v>44</v>
      </c>
    </row>
    <row r="2" ht="14.25" customHeight="1">
      <c r="A2" s="7" t="s">
        <v>11</v>
      </c>
      <c r="B2" s="7" t="s">
        <v>45</v>
      </c>
      <c r="C2" s="7">
        <v>25.0</v>
      </c>
    </row>
    <row r="3" ht="14.25" customHeight="1">
      <c r="A3" s="7" t="s">
        <v>22</v>
      </c>
      <c r="B3" s="7" t="s">
        <v>46</v>
      </c>
      <c r="C3" s="7">
        <v>45.0</v>
      </c>
    </row>
    <row r="4" ht="14.25" customHeight="1">
      <c r="A4" s="7" t="s">
        <v>18</v>
      </c>
      <c r="B4" s="7" t="s">
        <v>47</v>
      </c>
      <c r="C4" s="7">
        <v>15.0</v>
      </c>
    </row>
    <row r="5" ht="14.25" customHeight="1">
      <c r="A5" s="7" t="s">
        <v>14</v>
      </c>
      <c r="B5" s="7" t="s">
        <v>48</v>
      </c>
      <c r="C5" s="7">
        <v>30.0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2025-11-30T14:57:35Z</dcterms:created>
  <dc:creator>Anudip1</dc:creator>
</cp:coreProperties>
</file>